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ejonacionalproduccion-my.sharepoint.com/personal/smayorga_cnp_go_cr/Documents/COORD - SEGUIMIENTOS PERSONALIZADO/RAUL ORTEGA/"/>
    </mc:Choice>
  </mc:AlternateContent>
  <xr:revisionPtr revIDLastSave="327" documentId="8_{6E40B180-8882-4014-86C6-2ED2808E5796}" xr6:coauthVersionLast="47" xr6:coauthVersionMax="47" xr10:uidLastSave="{857DA95D-9B75-4C8F-BA0B-DE8BA6615F26}"/>
  <bookViews>
    <workbookView xWindow="-108" yWindow="-108" windowWidth="23256" windowHeight="12456" xr2:uid="{5534F46B-CE7C-43D1-9566-A791221DEF64}"/>
  </bookViews>
  <sheets>
    <sheet name="Cronograma_Justificacion_Marc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3" i="3" l="1"/>
  <c r="M43" i="3"/>
  <c r="K41" i="3"/>
  <c r="K32" i="3"/>
  <c r="K31" i="3"/>
  <c r="J30" i="3"/>
  <c r="K39" i="3" l="1"/>
  <c r="K38" i="3"/>
  <c r="K37" i="3"/>
  <c r="K36" i="3"/>
  <c r="K34" i="3"/>
  <c r="K27" i="3"/>
  <c r="J25" i="3"/>
  <c r="J38" i="3" l="1"/>
  <c r="J39" i="3"/>
  <c r="J37" i="3"/>
  <c r="J28" i="3"/>
  <c r="J29" i="3"/>
  <c r="J27" i="3"/>
  <c r="J36" i="3"/>
  <c r="J35" i="3"/>
  <c r="J34" i="3"/>
  <c r="J33" i="3"/>
  <c r="J32" i="3"/>
  <c r="J31" i="3"/>
  <c r="I41" i="3"/>
  <c r="H41" i="3"/>
  <c r="G41" i="3"/>
  <c r="F41" i="3"/>
  <c r="I42" i="3" l="1"/>
  <c r="K43" i="3"/>
  <c r="J41" i="3"/>
</calcChain>
</file>

<file path=xl/sharedStrings.xml><?xml version="1.0" encoding="utf-8"?>
<sst xmlns="http://schemas.openxmlformats.org/spreadsheetml/2006/main" count="174" uniqueCount="109">
  <si>
    <t>Fase</t>
  </si>
  <si>
    <t>7: Cierre Avanzado</t>
  </si>
  <si>
    <t>8: Pruebas UAT</t>
  </si>
  <si>
    <t>10: Despliegue</t>
  </si>
  <si>
    <t>T021</t>
  </si>
  <si>
    <t>T022</t>
  </si>
  <si>
    <t>T023</t>
  </si>
  <si>
    <t>T024</t>
  </si>
  <si>
    <t># Tarea</t>
  </si>
  <si>
    <t>ID Tarea</t>
  </si>
  <si>
    <t>Dependencias</t>
  </si>
  <si>
    <t>Descripcion Detallada</t>
  </si>
  <si>
    <t>Días Laborales (a 6:45h/día)</t>
  </si>
  <si>
    <t>Días (a 3h/día)</t>
  </si>
  <si>
    <t>Horas Tarea</t>
  </si>
  <si>
    <t>1: Configuracion y Planificacion del Proyecto</t>
  </si>
  <si>
    <t>T001</t>
  </si>
  <si>
    <t>Ninguna</t>
  </si>
  <si>
    <t>Analizar requisitos del sistema legado SICNP, definir requerimientos funcionales/no funcionales basados en PRP existente, crear Plan de Requisitos del Producto identificando puntos de integración con WIZDOM/SIFCNP. Usar docs/PRP_Justificacion_Marcas.md como base.</t>
  </si>
  <si>
    <t>T002</t>
  </si>
  <si>
    <t>Diseñar arquitectura en 3 capas .NET (API/Application/Domain/Infrastructure), definir esquema BD con relaciones, planear estructura frontend HTML/CSS/JS, diseñar contratos API y flujos de datos. Basado en backend/src/IntegradorMarcas.Api/.</t>
  </si>
  <si>
    <t>T003</t>
  </si>
  <si>
    <t>Evaluar .NET 8, SQL Server 2019, HTML/CSS/JS; configurar entorno de desarrollo; configurar control de versiones básico. Usar .slnx y archivos existentes.</t>
  </si>
  <si>
    <t>T004</t>
  </si>
  <si>
    <t>Crear estructura de solución y proyectos, configurar inyección de dependencias y middleware básico, inicializar estructura HTML/CSS. Basado en backend/ y frontend app.js.</t>
  </si>
  <si>
    <t>2: Desarrollo de Base de Datos</t>
  </si>
  <si>
    <t>T005</t>
  </si>
  <si>
    <t>Crear BD INTEGRA_CNP, implementar todas las tablas (Usuarios, Justificaciones, Catálogos), configurar esquemas (Configuracion, Operacion), crear relaciones FK y restricciones. Usar db/ scripts SQL existentes.</t>
  </si>
  <si>
    <t>T006</t>
  </si>
  <si>
    <t>Implementar tablas de Roles, Estados, TipoJustificacion; crear catálogos EstadoRegistro y auditoría; poblar datos semilla; validar integridad referencial. Basado en db/seed scripts.</t>
  </si>
  <si>
    <t>T007</t>
  </si>
  <si>
    <t>Crear índices de rendimiento, optimizar consultas para flujos de aprobación, configurar tablas de auditoría, probar restricciones y triggers. Usar db/fix scripts.</t>
  </si>
  <si>
    <t>T008</t>
  </si>
  <si>
    <t>Diseñar patrones de acceso de solo lectura a WIZDOM, crear procedimientos de sincronización de usuarios, configurar acceso a datos históricos SIFCNP, implementar mapeo y transformación. Basado en db/WIZDOM mappings.</t>
  </si>
  <si>
    <t>3: Desarrollo Core Backend</t>
  </si>
  <si>
    <t>T009</t>
  </si>
  <si>
    <t>Crear entidades de dominio y objetos de valor, implementar reglas de negocio y constantes, definir interfaces de servicios de dominio. Usar backend/src/IntegradorMarcas.Domain/.</t>
  </si>
  <si>
    <t>T010</t>
  </si>
  <si>
    <t>Implementar repositorios Dapper, centralizar consultas SQL, configurar fábrica de conexiones BD, implementar gestión de transacciones. Usar backend/src/IntegradorMarcas.Infrastructure/.</t>
  </si>
  <si>
    <t>T011</t>
  </si>
  <si>
    <t>Implementar servicios de negocio, lógica de validación, configurar DTOs y contratos de aplicación, implementar reglas de negocio RN-01 a RN-11. Usar backend/src/IntegradorMarcas.Application/.</t>
  </si>
  <si>
    <t>T012</t>
  </si>
  <si>
    <t>Crear JustificacionesController, implementar JefaturaController, crear controlador RRHH, configurar AdminAprobacionesController. Basado en backend/src/IntegradorMarcas.Api/Controllers/.</t>
  </si>
  <si>
    <t>T013</t>
  </si>
  <si>
    <t>Implementar autenticación basada en headers (X-User-Id/X-User-Role), configurar autorización basada en roles, configurar CORS y manejo de errores, agregar health checks y logging. Usar appsettings.json.</t>
  </si>
  <si>
    <t>4: Desarrollo Frontend</t>
  </si>
  <si>
    <t>T014</t>
  </si>
  <si>
    <t>Configurar estructura HTML y navegación, implementar sistema de estilos CSS, crear estructura modular de JavaScript. Usar index.html, dashboard.html, style.css.</t>
  </si>
  <si>
    <t>T015</t>
  </si>
  <si>
    <t>Construir interfaz de login, crear layouts de dashboard por rol, implementar componentes de formulario, configurar sistema de notificaciones/toast. Usar app.js y HTML existentes.</t>
  </si>
  <si>
    <t>T016</t>
  </si>
  <si>
    <t>Implementar cliente API con manejo de errores, configurar gestión de sesiones, crear lógica de obtención y caché de datos. Usar localStorage fallback.</t>
  </si>
  <si>
    <t>T017</t>
  </si>
  <si>
    <t>Crear vistas Funcionario (creación e historial), Jefatura (aprobaciones pendientes), RRHH (consulta global con filtros). Basado en dashboard.html.</t>
  </si>
  <si>
    <t>5: Integracion y Pruebas</t>
  </si>
  <si>
    <t>T018</t>
  </si>
  <si>
    <t>Conectar endpoints API al frontend, probar flujos end-to-end, depurar problemas de integración. Usar API existente y frontend.</t>
  </si>
  <si>
    <t>T019</t>
  </si>
  <si>
    <t>Escribir pruebas unitarias para servicios, probar repositorios y validación, implementar pruebas de controladores, configurar BD de pruebas. Usar tests/IntegradorMarcas.Tests/.</t>
  </si>
  <si>
    <t>T020</t>
  </si>
  <si>
    <t>Probar flujos completos, validar permisos de rol, probar escenarios de error. Basado en pruebas existentes.</t>
  </si>
  <si>
    <t>6: Funcionalidades Avanzadas y Refinamiento</t>
  </si>
  <si>
    <t>Implementar reglas de aprobación configurables, crear lógica de tabla Jerarquias_Aprobacion, construir algoritmos de resolución de jerarquía. Extender backend existente.</t>
  </si>
  <si>
    <t>Implementar Delegaciones_Aprobacion, crear interfaz de gestión de delegados, probar flujos de delegación. Agregar a API y frontend.</t>
  </si>
  <si>
    <t>Completar logging de eventos de auditoría, implementar dashboard de auditoría admin, agregar características de reporte de auditoría. Usar tablas de auditoría existentes.</t>
  </si>
  <si>
    <t>Escribir manuales de usuario para todos los roles, crear documentación técnica, actualizar documentación de API. Basado en docs/ existentes.</t>
  </si>
  <si>
    <t>T025</t>
  </si>
  <si>
    <t>Pruebas cross-browser, optimización de rendimiento, correcciones finales de errores y pulido. Validar con código actual.</t>
  </si>
  <si>
    <t>T026</t>
  </si>
  <si>
    <t>T027</t>
  </si>
  <si>
    <t>Completar implementación de delegados y sub-aprobadores con todas las reglas de negocio. Extender tarea 22.</t>
  </si>
  <si>
    <t>T028</t>
  </si>
  <si>
    <t>Mejorar completamente el sistema de auditoría con reportes y dashboards funcionales. Extender tarea 23.</t>
  </si>
  <si>
    <t>T029</t>
  </si>
  <si>
    <t>Planificar y preparar UAT con usuarios finales, crear scripts de prueba, configurar entorno de prueba.</t>
  </si>
  <si>
    <t>T030</t>
  </si>
  <si>
    <t>Ejecutar UAT con usuarios finales, recopilar feedback, identificar bugs.</t>
  </si>
  <si>
    <t>T031</t>
  </si>
  <si>
    <t>Corregir bugs identificados en UAT, validar correcciones, re-ejecutar pruebas.</t>
  </si>
  <si>
    <t>9: Capacitacion y Documentacion</t>
  </si>
  <si>
    <t>T032</t>
  </si>
  <si>
    <t>Realizar sesiones de capacitación para usuarios finales en el uso del sistema.</t>
  </si>
  <si>
    <t>T033</t>
  </si>
  <si>
    <t>Capacitar a administradores en gestión y mantenimiento del sistema.</t>
  </si>
  <si>
    <t>T034</t>
  </si>
  <si>
    <t>Actualizar manuales técnico y de usuario basados en feedback de UAT y capacitación.</t>
  </si>
  <si>
    <t>T035</t>
  </si>
  <si>
    <t>Planificar despliegue en producción, incluyendo migración de datos y procedimientos de rollback.</t>
  </si>
  <si>
    <t>T036</t>
  </si>
  <si>
    <t>Configurar entorno de producción, instalar dependencias, configurar BD y servidores.</t>
  </si>
  <si>
    <t>T037</t>
  </si>
  <si>
    <t>Ejecutar go-live, migrar datos, validar funcionamiento en producción.</t>
  </si>
  <si>
    <t>T038</t>
  </si>
  <si>
    <t>Proporcionar soporte post-despliegue, monitorear rendimiento, resolver incidencias iniciales.</t>
  </si>
  <si>
    <t>Total</t>
  </si>
  <si>
    <t>Finalizar implementación completa del sistema de jerarquía de aprobación, incluyendo casos y validaciones .</t>
  </si>
  <si>
    <t>HORAS PENDIENTES</t>
  </si>
  <si>
    <t>23 DÍAS DE DESARROLLO</t>
  </si>
  <si>
    <t>CALCULO TIEMPO A 6.45 HORAS LABORALES</t>
  </si>
  <si>
    <t>FECHA INCIO</t>
  </si>
  <si>
    <t>FECHA FIN</t>
  </si>
  <si>
    <t>SEGUIMIENTO JEFATURA</t>
  </si>
  <si>
    <t>Se considera del 06 al 10 de vacaciones</t>
  </si>
  <si>
    <t>Falta 50%</t>
  </si>
  <si>
    <t>CALCULO HORAS ASIGNADAS</t>
  </si>
  <si>
    <t>Horas durante el periodo para otras actividades, reuniones, documentación, tickets, etc</t>
  </si>
  <si>
    <t>Caoacitación al personal del proceso de sistemas técnico y de uso</t>
  </si>
  <si>
    <t>6 semanas</t>
  </si>
  <si>
    <t>2 horas a la semana de reuniones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</si>
</sst>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/>
    <xf numFmtId="2" fontId="0" fillId="3" borderId="1" xfId="0" applyNumberForma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left" vertical="top"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14" fontId="2" fillId="5" borderId="0" xfId="0" applyNumberFormat="1" applyFont="1" applyFill="1" applyAlignment="1">
      <alignment horizontal="center"/>
    </xf>
    <xf numFmtId="2" fontId="2" fillId="6" borderId="0" xfId="0" applyNumberFormat="1" applyFont="1" applyFill="1" applyAlignment="1">
      <alignment horizontal="center" vertical="top" wrapText="1"/>
    </xf>
    <xf numFmtId="14" fontId="2" fillId="5" borderId="0" xfId="0" applyNumberFormat="1" applyFont="1" applyFill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2" fontId="0" fillId="0" borderId="1" xfId="0" applyNumberFormat="1" applyBorder="1" applyAlignment="1">
      <alignment horizontal="left" vertical="top" wrapText="1"/>
    </xf>
    <xf numFmtId="2" fontId="0" fillId="2" borderId="1" xfId="0" applyNumberFormat="1" applyFill="1" applyBorder="1" applyAlignment="1">
      <alignment horizontal="left" vertical="top"/>
    </xf>
    <xf numFmtId="2" fontId="0" fillId="2" borderId="1" xfId="0" applyNumberFormat="1" applyFill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/>
    </xf>
    <xf numFmtId="2" fontId="0" fillId="4" borderId="1" xfId="0" applyNumberFormat="1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left" vertical="top" wrapText="1"/>
    </xf>
    <xf numFmtId="2" fontId="0" fillId="5" borderId="1" xfId="0" applyNumberFormat="1" applyFill="1" applyBorder="1" applyAlignment="1">
      <alignment horizontal="left" vertical="top"/>
    </xf>
    <xf numFmtId="0" fontId="0" fillId="5" borderId="0" xfId="0" applyFill="1"/>
    <xf numFmtId="2" fontId="0" fillId="7" borderId="1" xfId="0" applyNumberFormat="1" applyFill="1" applyBorder="1" applyAlignment="1">
      <alignment horizontal="left" vertical="top"/>
    </xf>
    <xf numFmtId="2" fontId="0" fillId="7" borderId="1" xfId="0" applyNumberFormat="1" applyFill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5" borderId="1" xfId="0" applyFont="1" applyFill="1" applyBorder="1" applyAlignment="1">
      <alignment horizontal="center" wrapText="1"/>
    </xf>
    <xf numFmtId="2" fontId="2" fillId="5" borderId="1" xfId="0" applyNumberFormat="1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33"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font>
        <b/>
        <i val="0"/>
        <color rgb="FF000000"/>
      </font>
      <fill>
        <patternFill patternType="solid">
          <fgColor indexed="64"/>
          <bgColor rgb="FF92D050"/>
        </patternFill>
      </fill>
    </dxf>
    <dxf>
      <numFmt numFmtId="2" formatCode="0.00"/>
      <fill>
        <patternFill patternType="solid">
          <fgColor indexed="64"/>
          <bgColor theme="7" tint="0.399975585192419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indexed="64"/>
          <bgColor theme="7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indexed="64"/>
          <bgColor theme="7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indexed="64"/>
          <bgColor theme="7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indexed="64"/>
          <bgColor theme="7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indexed="64"/>
          <bgColor theme="7" tint="0.399975585192419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037F8-9DE6-425F-9EBF-D7708337669A}" name="Tabla1" displayName="Tabla1" ref="A1:N41" totalsRowCount="1" headerRowDxfId="32" dataDxfId="31" totalsRowDxfId="30">
  <autoFilter ref="A1:N40" xr:uid="{AC8EED4F-A2CF-4CEE-9CC0-E8EF1F1D8991}"/>
  <tableColumns count="14">
    <tableColumn id="3" xr3:uid="{FCE25D99-34F6-4D4D-896A-C1205DCBD351}" name="# Tarea" totalsRowLabel="Total" dataDxfId="29" totalsRowDxfId="15"/>
    <tableColumn id="1" xr3:uid="{95E512EF-8367-4A2E-B634-8787B7D3CFD5}" name="Fase" dataDxfId="28" totalsRowDxfId="14"/>
    <tableColumn id="2" xr3:uid="{B702614F-1B0D-4265-A40A-946B5D894780}" name="ID Tarea" dataDxfId="27" totalsRowDxfId="13"/>
    <tableColumn id="14" xr3:uid="{DA0A8D83-5F5B-444A-9E43-2A97BBC8DC4D}" name="Dependencias" dataDxfId="26" totalsRowDxfId="12"/>
    <tableColumn id="4" xr3:uid="{6C232437-F964-412C-ABF7-ED615FF0E735}" name="Descripcion Detallada" dataDxfId="25" totalsRowDxfId="11"/>
    <tableColumn id="5" xr3:uid="{CE33EB6D-A404-4629-895B-9C605BBFEE93}" name="Días Laborales (a 6:45h/día)" totalsRowFunction="custom" dataDxfId="24" totalsRowDxfId="10">
      <totalsRowFormula>+SUM(Tabla1[Días Laborales (a 6:45h/día)])</totalsRowFormula>
    </tableColumn>
    <tableColumn id="6" xr3:uid="{FAB8A35E-150F-4043-AA38-1ED182EA7CA9}" name="Días (a 3h/día)" totalsRowFunction="custom" dataDxfId="23" totalsRowDxfId="9">
      <totalsRowFormula>+SUM(Tabla1[Días (a 3h/día)])</totalsRowFormula>
    </tableColumn>
    <tableColumn id="7" xr3:uid="{12A48892-3946-4AD9-BA62-6B40185082C3}" name="Horas Tarea" totalsRowFunction="custom" dataDxfId="22" totalsRowDxfId="8">
      <totalsRowFormula>SUM(Tabla1[Horas Tarea])</totalsRowFormula>
    </tableColumn>
    <tableColumn id="21" xr3:uid="{8A25A3C4-EA96-4DAF-AFA7-A2312AF7194C}" name="HORAS PENDIENTES" totalsRowFunction="sum" dataDxfId="21" totalsRowDxfId="7"/>
    <tableColumn id="22" xr3:uid="{A525B1BE-B2CF-46B0-ACF1-DBC14BE4D4F8}" name="CALCULO TIEMPO A 6.45 HORAS LABORALES" totalsRowFunction="sum" dataDxfId="20" totalsRowDxfId="6"/>
    <tableColumn id="26" xr3:uid="{9DF0944B-61C0-4727-8C39-FE9B0C196419}" name="CALCULO HORAS ASIGNADAS" totalsRowFunction="sum" dataDxfId="19" totalsRowDxfId="5"/>
    <tableColumn id="24" xr3:uid="{0903BCE5-22FF-41F8-931F-2B946A290980}" name="FECHA INCIO" dataDxfId="18" totalsRowDxfId="4"/>
    <tableColumn id="25" xr3:uid="{237BCB8D-7216-4D3E-8DF0-90F6BAA1659F}" name="FECHA FIN" dataDxfId="17" totalsRowDxfId="3"/>
    <tableColumn id="23" xr3:uid="{5FED871E-0BA5-48AC-9157-2B7D2746A5E6}" name="SEGUIMIENTO JEFATURA" dataDxfId="16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37A1-D1D3-4D91-8BA6-37F00B1850C8}">
  <dimension ref="A1:N45"/>
  <sheetViews>
    <sheetView tabSelected="1" topLeftCell="C1" zoomScale="85" zoomScaleNormal="85" workbookViewId="0">
      <pane ySplit="1" topLeftCell="A26" activePane="bottomLeft" state="frozen"/>
      <selection pane="bottomLeft" activeCell="N29" sqref="N29"/>
    </sheetView>
  </sheetViews>
  <sheetFormatPr baseColWidth="10" defaultRowHeight="66" customHeight="1" x14ac:dyDescent="0.3"/>
  <cols>
    <col min="1" max="1" width="9.109375" bestFit="1" customWidth="1"/>
    <col min="2" max="2" width="30.21875" style="5" customWidth="1"/>
    <col min="3" max="3" width="9.88671875" style="2" bestFit="1" customWidth="1"/>
    <col min="4" max="4" width="15.109375" style="2" bestFit="1" customWidth="1"/>
    <col min="5" max="5" width="63.33203125" style="4" customWidth="1"/>
    <col min="6" max="6" width="12.88671875" style="2" customWidth="1"/>
    <col min="7" max="7" width="11.33203125" style="2" customWidth="1"/>
    <col min="8" max="8" width="9.33203125" style="2" customWidth="1"/>
    <col min="9" max="11" width="18.6640625" style="2" customWidth="1"/>
    <col min="12" max="12" width="13.6640625" style="2" customWidth="1"/>
    <col min="13" max="13" width="12" style="2" customWidth="1"/>
    <col min="14" max="14" width="34.44140625" style="5" customWidth="1"/>
  </cols>
  <sheetData>
    <row r="1" spans="1:14" ht="66" customHeight="1" x14ac:dyDescent="0.3">
      <c r="A1" s="1" t="s">
        <v>8</v>
      </c>
      <c r="B1" s="3" t="s">
        <v>0</v>
      </c>
      <c r="C1" s="1" t="s">
        <v>9</v>
      </c>
      <c r="D1" s="1" t="s">
        <v>10</v>
      </c>
      <c r="E1" s="3" t="s">
        <v>11</v>
      </c>
      <c r="F1" s="19" t="s">
        <v>12</v>
      </c>
      <c r="G1" s="19" t="s">
        <v>13</v>
      </c>
      <c r="H1" s="19" t="s">
        <v>14</v>
      </c>
      <c r="I1" s="19" t="s">
        <v>96</v>
      </c>
      <c r="J1" s="19" t="s">
        <v>98</v>
      </c>
      <c r="K1" s="19" t="s">
        <v>104</v>
      </c>
      <c r="L1" s="19" t="s">
        <v>99</v>
      </c>
      <c r="M1" s="19" t="s">
        <v>100</v>
      </c>
      <c r="N1" s="19" t="s">
        <v>101</v>
      </c>
    </row>
    <row r="2" spans="1:14" s="8" customFormat="1" ht="66" customHeight="1" x14ac:dyDescent="0.3">
      <c r="A2" s="6">
        <v>1</v>
      </c>
      <c r="B2" s="7" t="s">
        <v>15</v>
      </c>
      <c r="C2" s="6" t="s">
        <v>16</v>
      </c>
      <c r="D2" s="6" t="s">
        <v>17</v>
      </c>
      <c r="E2" s="7" t="s">
        <v>18</v>
      </c>
      <c r="F2" s="20">
        <v>2.67</v>
      </c>
      <c r="G2" s="20">
        <v>6</v>
      </c>
      <c r="H2" s="20">
        <v>18</v>
      </c>
      <c r="I2" s="20"/>
      <c r="J2" s="20"/>
      <c r="K2" s="20"/>
      <c r="L2" s="20"/>
      <c r="M2" s="20"/>
      <c r="N2" s="21"/>
    </row>
    <row r="3" spans="1:14" s="8" customFormat="1" ht="66" customHeight="1" x14ac:dyDescent="0.3">
      <c r="A3" s="6">
        <v>2</v>
      </c>
      <c r="B3" s="7" t="s">
        <v>15</v>
      </c>
      <c r="C3" s="6" t="s">
        <v>19</v>
      </c>
      <c r="D3" s="6" t="s">
        <v>16</v>
      </c>
      <c r="E3" s="7" t="s">
        <v>20</v>
      </c>
      <c r="F3" s="20">
        <v>4.1500000000000004</v>
      </c>
      <c r="G3" s="20">
        <v>9.33</v>
      </c>
      <c r="H3" s="20">
        <v>28</v>
      </c>
      <c r="I3" s="20"/>
      <c r="J3" s="20"/>
      <c r="K3" s="20"/>
      <c r="L3" s="20"/>
      <c r="M3" s="20"/>
      <c r="N3" s="21"/>
    </row>
    <row r="4" spans="1:14" s="8" customFormat="1" ht="66" customHeight="1" x14ac:dyDescent="0.3">
      <c r="A4" s="6">
        <v>3</v>
      </c>
      <c r="B4" s="7" t="s">
        <v>15</v>
      </c>
      <c r="C4" s="6" t="s">
        <v>21</v>
      </c>
      <c r="D4" s="6" t="s">
        <v>19</v>
      </c>
      <c r="E4" s="7" t="s">
        <v>22</v>
      </c>
      <c r="F4" s="20">
        <v>0.59</v>
      </c>
      <c r="G4" s="20">
        <v>1.33</v>
      </c>
      <c r="H4" s="20">
        <v>4</v>
      </c>
      <c r="I4" s="20"/>
      <c r="J4" s="20"/>
      <c r="K4" s="20"/>
      <c r="L4" s="20"/>
      <c r="M4" s="20"/>
      <c r="N4" s="21"/>
    </row>
    <row r="5" spans="1:14" s="8" customFormat="1" ht="66" customHeight="1" x14ac:dyDescent="0.3">
      <c r="A5" s="6">
        <v>4</v>
      </c>
      <c r="B5" s="7" t="s">
        <v>15</v>
      </c>
      <c r="C5" s="6" t="s">
        <v>23</v>
      </c>
      <c r="D5" s="6" t="s">
        <v>21</v>
      </c>
      <c r="E5" s="7" t="s">
        <v>24</v>
      </c>
      <c r="F5" s="20">
        <v>1.78</v>
      </c>
      <c r="G5" s="20">
        <v>4</v>
      </c>
      <c r="H5" s="20">
        <v>12</v>
      </c>
      <c r="I5" s="20"/>
      <c r="J5" s="20"/>
      <c r="K5" s="20"/>
      <c r="L5" s="20"/>
      <c r="M5" s="20"/>
      <c r="N5" s="21"/>
    </row>
    <row r="6" spans="1:14" s="8" customFormat="1" ht="66" customHeight="1" x14ac:dyDescent="0.3">
      <c r="A6" s="6">
        <v>5</v>
      </c>
      <c r="B6" s="7" t="s">
        <v>25</v>
      </c>
      <c r="C6" s="6" t="s">
        <v>26</v>
      </c>
      <c r="D6" s="6" t="s">
        <v>23</v>
      </c>
      <c r="E6" s="7" t="s">
        <v>27</v>
      </c>
      <c r="F6" s="20">
        <v>4.1500000000000004</v>
      </c>
      <c r="G6" s="20">
        <v>9.33</v>
      </c>
      <c r="H6" s="20">
        <v>28</v>
      </c>
      <c r="I6" s="20"/>
      <c r="J6" s="20"/>
      <c r="K6" s="20"/>
      <c r="L6" s="20"/>
      <c r="M6" s="20"/>
      <c r="N6" s="21"/>
    </row>
    <row r="7" spans="1:14" s="8" customFormat="1" ht="66" customHeight="1" x14ac:dyDescent="0.3">
      <c r="A7" s="6">
        <v>6</v>
      </c>
      <c r="B7" s="7" t="s">
        <v>25</v>
      </c>
      <c r="C7" s="6" t="s">
        <v>28</v>
      </c>
      <c r="D7" s="6" t="s">
        <v>26</v>
      </c>
      <c r="E7" s="7" t="s">
        <v>29</v>
      </c>
      <c r="F7" s="20">
        <v>1.78</v>
      </c>
      <c r="G7" s="20">
        <v>4</v>
      </c>
      <c r="H7" s="20">
        <v>12</v>
      </c>
      <c r="I7" s="20"/>
      <c r="J7" s="20"/>
      <c r="K7" s="20"/>
      <c r="L7" s="20"/>
      <c r="M7" s="20"/>
      <c r="N7" s="21"/>
    </row>
    <row r="8" spans="1:14" s="8" customFormat="1" ht="66" customHeight="1" x14ac:dyDescent="0.3">
      <c r="A8" s="6">
        <v>7</v>
      </c>
      <c r="B8" s="7" t="s">
        <v>25</v>
      </c>
      <c r="C8" s="6" t="s">
        <v>30</v>
      </c>
      <c r="D8" s="6" t="s">
        <v>28</v>
      </c>
      <c r="E8" s="7" t="s">
        <v>31</v>
      </c>
      <c r="F8" s="20">
        <v>3.56</v>
      </c>
      <c r="G8" s="20">
        <v>8</v>
      </c>
      <c r="H8" s="20">
        <v>24</v>
      </c>
      <c r="I8" s="20"/>
      <c r="J8" s="20"/>
      <c r="K8" s="20"/>
      <c r="L8" s="20"/>
      <c r="M8" s="20"/>
      <c r="N8" s="21"/>
    </row>
    <row r="9" spans="1:14" s="8" customFormat="1" ht="66" customHeight="1" x14ac:dyDescent="0.3">
      <c r="A9" s="6">
        <v>8</v>
      </c>
      <c r="B9" s="7" t="s">
        <v>25</v>
      </c>
      <c r="C9" s="6" t="s">
        <v>32</v>
      </c>
      <c r="D9" s="6" t="s">
        <v>30</v>
      </c>
      <c r="E9" s="7" t="s">
        <v>33</v>
      </c>
      <c r="F9" s="20">
        <v>4.1500000000000004</v>
      </c>
      <c r="G9" s="20">
        <v>9.33</v>
      </c>
      <c r="H9" s="20">
        <v>28</v>
      </c>
      <c r="I9" s="20"/>
      <c r="J9" s="20"/>
      <c r="K9" s="20"/>
      <c r="L9" s="20"/>
      <c r="M9" s="20"/>
      <c r="N9" s="21"/>
    </row>
    <row r="10" spans="1:14" s="8" customFormat="1" ht="66" customHeight="1" x14ac:dyDescent="0.3">
      <c r="A10" s="6">
        <v>9</v>
      </c>
      <c r="B10" s="7" t="s">
        <v>34</v>
      </c>
      <c r="C10" s="6" t="s">
        <v>35</v>
      </c>
      <c r="D10" s="6" t="s">
        <v>32</v>
      </c>
      <c r="E10" s="7" t="s">
        <v>36</v>
      </c>
      <c r="F10" s="20">
        <v>3.56</v>
      </c>
      <c r="G10" s="20">
        <v>8</v>
      </c>
      <c r="H10" s="20">
        <v>24</v>
      </c>
      <c r="I10" s="20"/>
      <c r="J10" s="20"/>
      <c r="K10" s="20"/>
      <c r="L10" s="20"/>
      <c r="M10" s="20"/>
      <c r="N10" s="21"/>
    </row>
    <row r="11" spans="1:14" s="8" customFormat="1" ht="66" customHeight="1" x14ac:dyDescent="0.3">
      <c r="A11" s="6">
        <v>10</v>
      </c>
      <c r="B11" s="7" t="s">
        <v>34</v>
      </c>
      <c r="C11" s="6" t="s">
        <v>37</v>
      </c>
      <c r="D11" s="6" t="s">
        <v>35</v>
      </c>
      <c r="E11" s="7" t="s">
        <v>38</v>
      </c>
      <c r="F11" s="20">
        <v>4.1500000000000004</v>
      </c>
      <c r="G11" s="20">
        <v>9.33</v>
      </c>
      <c r="H11" s="20">
        <v>28</v>
      </c>
      <c r="I11" s="20"/>
      <c r="J11" s="20"/>
      <c r="K11" s="20"/>
      <c r="L11" s="20"/>
      <c r="M11" s="20"/>
      <c r="N11" s="21"/>
    </row>
    <row r="12" spans="1:14" s="8" customFormat="1" ht="66" customHeight="1" x14ac:dyDescent="0.3">
      <c r="A12" s="6">
        <v>11</v>
      </c>
      <c r="B12" s="7" t="s">
        <v>34</v>
      </c>
      <c r="C12" s="6" t="s">
        <v>39</v>
      </c>
      <c r="D12" s="6" t="s">
        <v>37</v>
      </c>
      <c r="E12" s="7" t="s">
        <v>40</v>
      </c>
      <c r="F12" s="20">
        <v>5.19</v>
      </c>
      <c r="G12" s="20">
        <v>11.67</v>
      </c>
      <c r="H12" s="20">
        <v>35</v>
      </c>
      <c r="I12" s="20"/>
      <c r="J12" s="20"/>
      <c r="K12" s="20"/>
      <c r="L12" s="20"/>
      <c r="M12" s="20"/>
      <c r="N12" s="21"/>
    </row>
    <row r="13" spans="1:14" s="8" customFormat="1" ht="66" customHeight="1" x14ac:dyDescent="0.3">
      <c r="A13" s="6">
        <v>12</v>
      </c>
      <c r="B13" s="7" t="s">
        <v>34</v>
      </c>
      <c r="C13" s="6" t="s">
        <v>41</v>
      </c>
      <c r="D13" s="6" t="s">
        <v>39</v>
      </c>
      <c r="E13" s="7" t="s">
        <v>42</v>
      </c>
      <c r="F13" s="20">
        <v>1.78</v>
      </c>
      <c r="G13" s="20">
        <v>4</v>
      </c>
      <c r="H13" s="20">
        <v>12</v>
      </c>
      <c r="I13" s="20"/>
      <c r="J13" s="20"/>
      <c r="K13" s="20"/>
      <c r="L13" s="20"/>
      <c r="M13" s="20"/>
      <c r="N13" s="21"/>
    </row>
    <row r="14" spans="1:14" s="8" customFormat="1" ht="66" customHeight="1" x14ac:dyDescent="0.3">
      <c r="A14" s="6">
        <v>13</v>
      </c>
      <c r="B14" s="7" t="s">
        <v>34</v>
      </c>
      <c r="C14" s="6" t="s">
        <v>43</v>
      </c>
      <c r="D14" s="6" t="s">
        <v>41</v>
      </c>
      <c r="E14" s="7" t="s">
        <v>44</v>
      </c>
      <c r="F14" s="20">
        <v>3.56</v>
      </c>
      <c r="G14" s="20">
        <v>8</v>
      </c>
      <c r="H14" s="20">
        <v>24</v>
      </c>
      <c r="I14" s="20"/>
      <c r="J14" s="20"/>
      <c r="K14" s="20"/>
      <c r="L14" s="20"/>
      <c r="M14" s="20"/>
      <c r="N14" s="21"/>
    </row>
    <row r="15" spans="1:14" s="8" customFormat="1" ht="66" customHeight="1" x14ac:dyDescent="0.3">
      <c r="A15" s="6">
        <v>14</v>
      </c>
      <c r="B15" s="7" t="s">
        <v>45</v>
      </c>
      <c r="C15" s="6" t="s">
        <v>46</v>
      </c>
      <c r="D15" s="6" t="s">
        <v>43</v>
      </c>
      <c r="E15" s="7" t="s">
        <v>47</v>
      </c>
      <c r="F15" s="20">
        <v>1.78</v>
      </c>
      <c r="G15" s="20">
        <v>4</v>
      </c>
      <c r="H15" s="20">
        <v>12</v>
      </c>
      <c r="I15" s="20"/>
      <c r="J15" s="20"/>
      <c r="K15" s="20"/>
      <c r="L15" s="20"/>
      <c r="M15" s="20"/>
      <c r="N15" s="21"/>
    </row>
    <row r="16" spans="1:14" s="8" customFormat="1" ht="66" customHeight="1" x14ac:dyDescent="0.3">
      <c r="A16" s="6">
        <v>15</v>
      </c>
      <c r="B16" s="7" t="s">
        <v>45</v>
      </c>
      <c r="C16" s="6" t="s">
        <v>48</v>
      </c>
      <c r="D16" s="6" t="s">
        <v>46</v>
      </c>
      <c r="E16" s="7" t="s">
        <v>49</v>
      </c>
      <c r="F16" s="20">
        <v>2.37</v>
      </c>
      <c r="G16" s="20">
        <v>5.33</v>
      </c>
      <c r="H16" s="20">
        <v>16</v>
      </c>
      <c r="I16" s="20"/>
      <c r="J16" s="20"/>
      <c r="K16" s="20"/>
      <c r="L16" s="20"/>
      <c r="M16" s="20"/>
      <c r="N16" s="21"/>
    </row>
    <row r="17" spans="1:14" s="8" customFormat="1" ht="66" customHeight="1" x14ac:dyDescent="0.3">
      <c r="A17" s="6">
        <v>16</v>
      </c>
      <c r="B17" s="7" t="s">
        <v>45</v>
      </c>
      <c r="C17" s="6" t="s">
        <v>50</v>
      </c>
      <c r="D17" s="6" t="s">
        <v>48</v>
      </c>
      <c r="E17" s="7" t="s">
        <v>51</v>
      </c>
      <c r="F17" s="20">
        <v>4.1500000000000004</v>
      </c>
      <c r="G17" s="20">
        <v>9.33</v>
      </c>
      <c r="H17" s="20">
        <v>28</v>
      </c>
      <c r="I17" s="20"/>
      <c r="J17" s="20"/>
      <c r="K17" s="20"/>
      <c r="L17" s="20"/>
      <c r="M17" s="20"/>
      <c r="N17" s="21"/>
    </row>
    <row r="18" spans="1:14" s="8" customFormat="1" ht="66" customHeight="1" x14ac:dyDescent="0.3">
      <c r="A18" s="6">
        <v>17</v>
      </c>
      <c r="B18" s="7" t="s">
        <v>45</v>
      </c>
      <c r="C18" s="6" t="s">
        <v>52</v>
      </c>
      <c r="D18" s="6" t="s">
        <v>50</v>
      </c>
      <c r="E18" s="7" t="s">
        <v>53</v>
      </c>
      <c r="F18" s="20">
        <v>1.78</v>
      </c>
      <c r="G18" s="20">
        <v>4</v>
      </c>
      <c r="H18" s="20">
        <v>12</v>
      </c>
      <c r="I18" s="20"/>
      <c r="J18" s="20"/>
      <c r="K18" s="20"/>
      <c r="L18" s="20"/>
      <c r="M18" s="20"/>
      <c r="N18" s="21"/>
    </row>
    <row r="19" spans="1:14" s="8" customFormat="1" ht="66" customHeight="1" x14ac:dyDescent="0.3">
      <c r="A19" s="6">
        <v>18</v>
      </c>
      <c r="B19" s="7" t="s">
        <v>54</v>
      </c>
      <c r="C19" s="6" t="s">
        <v>55</v>
      </c>
      <c r="D19" s="6" t="s">
        <v>52</v>
      </c>
      <c r="E19" s="7" t="s">
        <v>56</v>
      </c>
      <c r="F19" s="20">
        <v>3.56</v>
      </c>
      <c r="G19" s="20">
        <v>8</v>
      </c>
      <c r="H19" s="20">
        <v>24</v>
      </c>
      <c r="I19" s="20"/>
      <c r="J19" s="20"/>
      <c r="K19" s="20"/>
      <c r="L19" s="20"/>
      <c r="M19" s="20"/>
      <c r="N19" s="21"/>
    </row>
    <row r="20" spans="1:14" s="8" customFormat="1" ht="66" customHeight="1" x14ac:dyDescent="0.3">
      <c r="A20" s="6">
        <v>19</v>
      </c>
      <c r="B20" s="7" t="s">
        <v>54</v>
      </c>
      <c r="C20" s="6" t="s">
        <v>57</v>
      </c>
      <c r="D20" s="6" t="s">
        <v>55</v>
      </c>
      <c r="E20" s="7" t="s">
        <v>58</v>
      </c>
      <c r="F20" s="20">
        <v>2.67</v>
      </c>
      <c r="G20" s="20">
        <v>6</v>
      </c>
      <c r="H20" s="20">
        <v>18</v>
      </c>
      <c r="I20" s="20"/>
      <c r="J20" s="20"/>
      <c r="K20" s="20"/>
      <c r="L20" s="20"/>
      <c r="M20" s="20"/>
      <c r="N20" s="21"/>
    </row>
    <row r="21" spans="1:14" s="8" customFormat="1" ht="66" customHeight="1" x14ac:dyDescent="0.3">
      <c r="A21" s="6">
        <v>20</v>
      </c>
      <c r="B21" s="7" t="s">
        <v>54</v>
      </c>
      <c r="C21" s="6" t="s">
        <v>59</v>
      </c>
      <c r="D21" s="6" t="s">
        <v>57</v>
      </c>
      <c r="E21" s="7" t="s">
        <v>60</v>
      </c>
      <c r="F21" s="20">
        <v>1.78</v>
      </c>
      <c r="G21" s="20">
        <v>4</v>
      </c>
      <c r="H21" s="20">
        <v>12</v>
      </c>
      <c r="I21" s="20"/>
      <c r="J21" s="20"/>
      <c r="K21" s="20"/>
      <c r="L21" s="20"/>
      <c r="M21" s="20"/>
      <c r="N21" s="21"/>
    </row>
    <row r="22" spans="1:14" s="8" customFormat="1" ht="66" customHeight="1" x14ac:dyDescent="0.3">
      <c r="A22" s="6">
        <v>21</v>
      </c>
      <c r="B22" s="7" t="s">
        <v>61</v>
      </c>
      <c r="C22" s="6" t="s">
        <v>4</v>
      </c>
      <c r="D22" s="6" t="s">
        <v>59</v>
      </c>
      <c r="E22" s="7" t="s">
        <v>62</v>
      </c>
      <c r="F22" s="20">
        <v>6.67</v>
      </c>
      <c r="G22" s="20">
        <v>15</v>
      </c>
      <c r="H22" s="20">
        <v>45</v>
      </c>
      <c r="I22" s="20"/>
      <c r="J22" s="20"/>
      <c r="K22" s="20"/>
      <c r="L22" s="20"/>
      <c r="M22" s="20"/>
      <c r="N22" s="21"/>
    </row>
    <row r="23" spans="1:14" s="8" customFormat="1" ht="66" customHeight="1" x14ac:dyDescent="0.3">
      <c r="A23" s="6">
        <v>22</v>
      </c>
      <c r="B23" s="7" t="s">
        <v>61</v>
      </c>
      <c r="C23" s="6" t="s">
        <v>5</v>
      </c>
      <c r="D23" s="6" t="s">
        <v>4</v>
      </c>
      <c r="E23" s="7" t="s">
        <v>63</v>
      </c>
      <c r="F23" s="20">
        <v>4.1500000000000004</v>
      </c>
      <c r="G23" s="20">
        <v>9.33</v>
      </c>
      <c r="H23" s="20">
        <v>28</v>
      </c>
      <c r="I23" s="20"/>
      <c r="J23" s="20"/>
      <c r="K23" s="20"/>
      <c r="L23" s="20"/>
      <c r="M23" s="20"/>
      <c r="N23" s="21"/>
    </row>
    <row r="24" spans="1:14" s="8" customFormat="1" ht="66" customHeight="1" x14ac:dyDescent="0.3">
      <c r="A24" s="6">
        <v>23</v>
      </c>
      <c r="B24" s="7" t="s">
        <v>61</v>
      </c>
      <c r="C24" s="6" t="s">
        <v>6</v>
      </c>
      <c r="D24" s="6" t="s">
        <v>5</v>
      </c>
      <c r="E24" s="7" t="s">
        <v>64</v>
      </c>
      <c r="F24" s="20">
        <v>2.37</v>
      </c>
      <c r="G24" s="20">
        <v>5.33</v>
      </c>
      <c r="H24" s="20">
        <v>16</v>
      </c>
      <c r="I24" s="20"/>
      <c r="J24" s="20"/>
      <c r="K24" s="20"/>
      <c r="L24" s="20"/>
      <c r="M24" s="20"/>
      <c r="N24" s="21"/>
    </row>
    <row r="25" spans="1:14" ht="66" customHeight="1" x14ac:dyDescent="0.3">
      <c r="A25" s="1">
        <v>24</v>
      </c>
      <c r="B25" s="3" t="s">
        <v>61</v>
      </c>
      <c r="C25" s="1" t="s">
        <v>7</v>
      </c>
      <c r="D25" s="1" t="s">
        <v>6</v>
      </c>
      <c r="E25" s="3" t="s">
        <v>65</v>
      </c>
      <c r="F25" s="22">
        <v>1.78</v>
      </c>
      <c r="G25" s="22">
        <v>4</v>
      </c>
      <c r="H25" s="22">
        <v>12</v>
      </c>
      <c r="I25" s="23">
        <v>6</v>
      </c>
      <c r="J25" s="23">
        <f>+Tabla1[[#This Row],[HORAS PENDIENTES]]/6.45</f>
        <v>0.93023255813953487</v>
      </c>
      <c r="K25" s="23">
        <v>6.45</v>
      </c>
      <c r="L25" s="24">
        <v>46197</v>
      </c>
      <c r="M25" s="25">
        <v>46197</v>
      </c>
      <c r="N25" s="26" t="s">
        <v>103</v>
      </c>
    </row>
    <row r="26" spans="1:14" s="8" customFormat="1" ht="66" customHeight="1" x14ac:dyDescent="0.3">
      <c r="A26" s="6">
        <v>25</v>
      </c>
      <c r="B26" s="7" t="s">
        <v>61</v>
      </c>
      <c r="C26" s="6" t="s">
        <v>66</v>
      </c>
      <c r="D26" s="6" t="s">
        <v>7</v>
      </c>
      <c r="E26" s="7" t="s">
        <v>67</v>
      </c>
      <c r="F26" s="20">
        <v>1.78</v>
      </c>
      <c r="G26" s="20">
        <v>4</v>
      </c>
      <c r="H26" s="20">
        <v>12</v>
      </c>
      <c r="I26" s="20"/>
      <c r="J26" s="20"/>
      <c r="K26" s="20"/>
      <c r="L26" s="20"/>
      <c r="M26" s="20"/>
      <c r="N26" s="21"/>
    </row>
    <row r="27" spans="1:14" ht="66" customHeight="1" x14ac:dyDescent="0.3">
      <c r="A27" s="1">
        <v>26</v>
      </c>
      <c r="B27" s="3" t="s">
        <v>1</v>
      </c>
      <c r="C27" s="1" t="s">
        <v>68</v>
      </c>
      <c r="D27" s="1" t="s">
        <v>66</v>
      </c>
      <c r="E27" s="3" t="s">
        <v>95</v>
      </c>
      <c r="F27" s="22">
        <v>4.1500000000000004</v>
      </c>
      <c r="G27" s="22">
        <v>9.33</v>
      </c>
      <c r="H27" s="22">
        <v>28</v>
      </c>
      <c r="I27" s="23">
        <v>2.8</v>
      </c>
      <c r="J27" s="23">
        <f>+Tabla1[[#This Row],[HORAS PENDIENTES]]/6.45</f>
        <v>0.43410852713178288</v>
      </c>
      <c r="K27" s="23">
        <f>6.45*2</f>
        <v>12.9</v>
      </c>
      <c r="L27" s="24">
        <v>46202</v>
      </c>
      <c r="M27" s="25">
        <v>46203</v>
      </c>
      <c r="N27" s="26"/>
    </row>
    <row r="28" spans="1:14" ht="66" customHeight="1" x14ac:dyDescent="0.3">
      <c r="A28" s="1">
        <v>27</v>
      </c>
      <c r="B28" s="3" t="s">
        <v>1</v>
      </c>
      <c r="C28" s="1" t="s">
        <v>69</v>
      </c>
      <c r="D28" s="1" t="s">
        <v>68</v>
      </c>
      <c r="E28" s="3" t="s">
        <v>70</v>
      </c>
      <c r="F28" s="22">
        <v>4.1500000000000004</v>
      </c>
      <c r="G28" s="22">
        <v>9.33</v>
      </c>
      <c r="H28" s="22">
        <v>28</v>
      </c>
      <c r="I28" s="23">
        <v>2.8</v>
      </c>
      <c r="J28" s="23">
        <f>+Tabla1[[#This Row],[HORAS PENDIENTES]]/6.45</f>
        <v>0.43410852713178288</v>
      </c>
      <c r="K28" s="23">
        <v>6.45</v>
      </c>
      <c r="L28" s="24">
        <v>46204</v>
      </c>
      <c r="M28" s="25">
        <v>46204</v>
      </c>
      <c r="N28" s="26"/>
    </row>
    <row r="29" spans="1:14" ht="66" customHeight="1" x14ac:dyDescent="0.3">
      <c r="A29" s="1">
        <v>28</v>
      </c>
      <c r="B29" s="3" t="s">
        <v>1</v>
      </c>
      <c r="C29" s="1" t="s">
        <v>71</v>
      </c>
      <c r="D29" s="1" t="s">
        <v>69</v>
      </c>
      <c r="E29" s="3" t="s">
        <v>72</v>
      </c>
      <c r="F29" s="22">
        <v>2.37</v>
      </c>
      <c r="G29" s="22">
        <v>5.33</v>
      </c>
      <c r="H29" s="22">
        <v>16</v>
      </c>
      <c r="I29" s="23">
        <v>4</v>
      </c>
      <c r="J29" s="23">
        <f>+Tabla1[[#This Row],[HORAS PENDIENTES]]/6.45</f>
        <v>0.62015503875968991</v>
      </c>
      <c r="K29" s="23">
        <v>6.45</v>
      </c>
      <c r="L29" s="24">
        <v>46205</v>
      </c>
      <c r="M29" s="25">
        <v>46205</v>
      </c>
      <c r="N29" s="26"/>
    </row>
    <row r="30" spans="1:14" s="31" customFormat="1" ht="66" customHeight="1" x14ac:dyDescent="0.3">
      <c r="A30" s="28">
        <v>29</v>
      </c>
      <c r="B30" s="29" t="s">
        <v>2</v>
      </c>
      <c r="C30" s="28" t="s">
        <v>73</v>
      </c>
      <c r="D30" s="28" t="s">
        <v>71</v>
      </c>
      <c r="E30" s="29" t="s">
        <v>74</v>
      </c>
      <c r="F30" s="30">
        <v>1.78</v>
      </c>
      <c r="G30" s="30">
        <v>4</v>
      </c>
      <c r="H30" s="30">
        <v>12</v>
      </c>
      <c r="I30" s="32">
        <v>6</v>
      </c>
      <c r="J30" s="32">
        <f>+Tabla1[[#This Row],[HORAS PENDIENTES]]/6.45</f>
        <v>0.93023255813953487</v>
      </c>
      <c r="K30" s="32">
        <v>6.45</v>
      </c>
      <c r="L30" s="24">
        <v>46206</v>
      </c>
      <c r="M30" s="24">
        <v>46206</v>
      </c>
      <c r="N30" s="33"/>
    </row>
    <row r="31" spans="1:14" ht="66" customHeight="1" x14ac:dyDescent="0.3">
      <c r="A31" s="1">
        <v>30</v>
      </c>
      <c r="B31" s="3" t="s">
        <v>2</v>
      </c>
      <c r="C31" s="1" t="s">
        <v>75</v>
      </c>
      <c r="D31" s="1" t="s">
        <v>73</v>
      </c>
      <c r="E31" s="3" t="s">
        <v>76</v>
      </c>
      <c r="F31" s="22">
        <v>1.78</v>
      </c>
      <c r="G31" s="22">
        <v>4</v>
      </c>
      <c r="H31" s="22">
        <v>12</v>
      </c>
      <c r="I31" s="23">
        <v>12</v>
      </c>
      <c r="J31" s="27">
        <f>+Tabla1[[#This Row],[HORAS PENDIENTES]]/6.45</f>
        <v>1.8604651162790697</v>
      </c>
      <c r="K31" s="27">
        <f>6.45*3</f>
        <v>19.350000000000001</v>
      </c>
      <c r="L31" s="25">
        <v>46209</v>
      </c>
      <c r="M31" s="25">
        <v>46211</v>
      </c>
      <c r="N31" s="27"/>
    </row>
    <row r="32" spans="1:14" ht="66" customHeight="1" x14ac:dyDescent="0.3">
      <c r="A32" s="1">
        <v>31</v>
      </c>
      <c r="B32" s="3" t="s">
        <v>2</v>
      </c>
      <c r="C32" s="1" t="s">
        <v>77</v>
      </c>
      <c r="D32" s="1" t="s">
        <v>75</v>
      </c>
      <c r="E32" s="3" t="s">
        <v>78</v>
      </c>
      <c r="F32" s="22">
        <v>2.37</v>
      </c>
      <c r="G32" s="22">
        <v>5.33</v>
      </c>
      <c r="H32" s="22">
        <v>16</v>
      </c>
      <c r="I32" s="23">
        <v>16</v>
      </c>
      <c r="J32" s="27">
        <f>+Tabla1[[#This Row],[HORAS PENDIENTES]]/6.45</f>
        <v>2.4806201550387597</v>
      </c>
      <c r="K32" s="27">
        <f>6.45*3</f>
        <v>19.350000000000001</v>
      </c>
      <c r="L32" s="25">
        <v>46212</v>
      </c>
      <c r="M32" s="25">
        <v>46216</v>
      </c>
      <c r="N32" s="27" t="s">
        <v>102</v>
      </c>
    </row>
    <row r="33" spans="1:14" ht="66" customHeight="1" x14ac:dyDescent="0.3">
      <c r="A33" s="1">
        <v>32</v>
      </c>
      <c r="B33" s="3" t="s">
        <v>79</v>
      </c>
      <c r="C33" s="1" t="s">
        <v>80</v>
      </c>
      <c r="D33" s="1" t="s">
        <v>77</v>
      </c>
      <c r="E33" s="3" t="s">
        <v>81</v>
      </c>
      <c r="F33" s="22">
        <v>1.19</v>
      </c>
      <c r="G33" s="22">
        <v>2.67</v>
      </c>
      <c r="H33" s="22">
        <v>8</v>
      </c>
      <c r="I33" s="23">
        <v>8</v>
      </c>
      <c r="J33" s="27">
        <f>+Tabla1[[#This Row],[HORAS PENDIENTES]]/6.45</f>
        <v>1.2403100775193798</v>
      </c>
      <c r="K33" s="27">
        <v>6.45</v>
      </c>
      <c r="L33" s="25">
        <v>46216</v>
      </c>
      <c r="M33" s="25">
        <v>46217</v>
      </c>
      <c r="N33" s="27"/>
    </row>
    <row r="34" spans="1:14" ht="66" customHeight="1" x14ac:dyDescent="0.3">
      <c r="A34" s="1">
        <v>33</v>
      </c>
      <c r="B34" s="3" t="s">
        <v>79</v>
      </c>
      <c r="C34" s="1" t="s">
        <v>82</v>
      </c>
      <c r="D34" s="1" t="s">
        <v>80</v>
      </c>
      <c r="E34" s="3" t="s">
        <v>83</v>
      </c>
      <c r="F34" s="22">
        <v>1.19</v>
      </c>
      <c r="G34" s="22">
        <v>2.67</v>
      </c>
      <c r="H34" s="22">
        <v>8</v>
      </c>
      <c r="I34" s="23">
        <v>8</v>
      </c>
      <c r="J34" s="27">
        <f>8/6.45</f>
        <v>1.2403100775193798</v>
      </c>
      <c r="K34" s="27">
        <f>6.45*2</f>
        <v>12.9</v>
      </c>
      <c r="L34" s="25">
        <v>46218</v>
      </c>
      <c r="M34" s="25">
        <v>46219</v>
      </c>
      <c r="N34" s="27"/>
    </row>
    <row r="35" spans="1:14" ht="66" customHeight="1" x14ac:dyDescent="0.3">
      <c r="A35" s="1">
        <v>34</v>
      </c>
      <c r="B35" s="3" t="s">
        <v>79</v>
      </c>
      <c r="C35" s="1" t="s">
        <v>84</v>
      </c>
      <c r="D35" s="1" t="s">
        <v>82</v>
      </c>
      <c r="E35" s="3" t="s">
        <v>85</v>
      </c>
      <c r="F35" s="22">
        <v>0.59</v>
      </c>
      <c r="G35" s="22">
        <v>1.33</v>
      </c>
      <c r="H35" s="22">
        <v>4</v>
      </c>
      <c r="I35" s="23">
        <v>4</v>
      </c>
      <c r="J35" s="27">
        <f>4/6.45</f>
        <v>0.62015503875968991</v>
      </c>
      <c r="K35" s="27">
        <v>6.45</v>
      </c>
      <c r="L35" s="24">
        <v>46220</v>
      </c>
      <c r="M35" s="25">
        <v>46220</v>
      </c>
      <c r="N35" s="27"/>
    </row>
    <row r="36" spans="1:14" ht="66" customHeight="1" x14ac:dyDescent="0.3">
      <c r="A36" s="1">
        <v>35</v>
      </c>
      <c r="B36" s="3" t="s">
        <v>3</v>
      </c>
      <c r="C36" s="1" t="s">
        <v>86</v>
      </c>
      <c r="D36" s="1" t="s">
        <v>84</v>
      </c>
      <c r="E36" s="3" t="s">
        <v>87</v>
      </c>
      <c r="F36" s="22">
        <v>2.96</v>
      </c>
      <c r="G36" s="22">
        <v>6.67</v>
      </c>
      <c r="H36" s="22">
        <v>20</v>
      </c>
      <c r="I36" s="23">
        <v>20</v>
      </c>
      <c r="J36" s="27">
        <f>20/6.45</f>
        <v>3.1007751937984493</v>
      </c>
      <c r="K36" s="27">
        <f>6.45*3</f>
        <v>19.350000000000001</v>
      </c>
      <c r="L36" s="24">
        <v>46223</v>
      </c>
      <c r="M36" s="25">
        <v>46225</v>
      </c>
      <c r="N36" s="27"/>
    </row>
    <row r="37" spans="1:14" ht="66" customHeight="1" x14ac:dyDescent="0.3">
      <c r="A37" s="1">
        <v>36</v>
      </c>
      <c r="B37" s="3" t="s">
        <v>3</v>
      </c>
      <c r="C37" s="1" t="s">
        <v>88</v>
      </c>
      <c r="D37" s="1" t="s">
        <v>86</v>
      </c>
      <c r="E37" s="3" t="s">
        <v>89</v>
      </c>
      <c r="F37" s="22">
        <v>2.96</v>
      </c>
      <c r="G37" s="22">
        <v>6.67</v>
      </c>
      <c r="H37" s="22">
        <v>20</v>
      </c>
      <c r="I37" s="23">
        <v>20</v>
      </c>
      <c r="J37" s="23">
        <f>+Tabla1[[#This Row],[HORAS PENDIENTES]]/6.45</f>
        <v>3.1007751937984493</v>
      </c>
      <c r="K37" s="23">
        <f>6.45*3</f>
        <v>19.350000000000001</v>
      </c>
      <c r="L37" s="24">
        <v>46226</v>
      </c>
      <c r="M37" s="25">
        <v>46230</v>
      </c>
      <c r="N37" s="26"/>
    </row>
    <row r="38" spans="1:14" ht="66" customHeight="1" x14ac:dyDescent="0.3">
      <c r="A38" s="1">
        <v>37</v>
      </c>
      <c r="B38" s="3" t="s">
        <v>3</v>
      </c>
      <c r="C38" s="1" t="s">
        <v>90</v>
      </c>
      <c r="D38" s="1" t="s">
        <v>88</v>
      </c>
      <c r="E38" s="3" t="s">
        <v>91</v>
      </c>
      <c r="F38" s="22">
        <v>2.96</v>
      </c>
      <c r="G38" s="22">
        <v>6.67</v>
      </c>
      <c r="H38" s="22">
        <v>20</v>
      </c>
      <c r="I38" s="23">
        <v>20</v>
      </c>
      <c r="J38" s="23">
        <f>+Tabla1[[#This Row],[HORAS PENDIENTES]]/6.45</f>
        <v>3.1007751937984493</v>
      </c>
      <c r="K38" s="23">
        <f>6.45*3</f>
        <v>19.350000000000001</v>
      </c>
      <c r="L38" s="24">
        <v>46231</v>
      </c>
      <c r="M38" s="25">
        <v>46234</v>
      </c>
      <c r="N38" s="26"/>
    </row>
    <row r="39" spans="1:14" ht="66" customHeight="1" x14ac:dyDescent="0.3">
      <c r="A39" s="1">
        <v>38</v>
      </c>
      <c r="B39" s="3" t="s">
        <v>3</v>
      </c>
      <c r="C39" s="1" t="s">
        <v>92</v>
      </c>
      <c r="D39" s="1" t="s">
        <v>90</v>
      </c>
      <c r="E39" s="3" t="s">
        <v>93</v>
      </c>
      <c r="F39" s="22">
        <v>2.37</v>
      </c>
      <c r="G39" s="22">
        <v>5.33</v>
      </c>
      <c r="H39" s="22">
        <v>16</v>
      </c>
      <c r="I39" s="23">
        <v>16</v>
      </c>
      <c r="J39" s="23">
        <f>+Tabla1[[#This Row],[HORAS PENDIENTES]]/6.45</f>
        <v>2.4806201550387597</v>
      </c>
      <c r="K39" s="23">
        <f>6.45*2</f>
        <v>12.9</v>
      </c>
      <c r="L39" s="24">
        <v>46237</v>
      </c>
      <c r="M39" s="25">
        <v>46238</v>
      </c>
      <c r="N39" s="26"/>
    </row>
    <row r="40" spans="1:14" ht="66" customHeight="1" x14ac:dyDescent="0.3">
      <c r="A40" s="1"/>
      <c r="B40" s="3"/>
      <c r="C40" s="1"/>
      <c r="D40" s="1"/>
      <c r="E40" s="34" t="s">
        <v>106</v>
      </c>
      <c r="F40" s="22"/>
      <c r="G40" s="22"/>
      <c r="H40" s="22"/>
      <c r="I40" s="23">
        <v>6.45</v>
      </c>
      <c r="J40" s="23">
        <v>6.45</v>
      </c>
      <c r="K40" s="23">
        <v>6.45</v>
      </c>
      <c r="L40" s="24">
        <v>46239</v>
      </c>
      <c r="M40" s="25">
        <v>46240</v>
      </c>
      <c r="N40" s="33"/>
    </row>
    <row r="41" spans="1:14" ht="66" customHeight="1" x14ac:dyDescent="0.3">
      <c r="A41" s="1" t="s">
        <v>94</v>
      </c>
      <c r="C41" s="1"/>
      <c r="D41" s="1"/>
      <c r="E41" s="3"/>
      <c r="F41" s="22">
        <f>+SUM(Tabla1[Días Laborales (a 6:45h/día)])</f>
        <v>106.73000000000002</v>
      </c>
      <c r="G41" s="22">
        <f>+SUM(Tabla1[Días (a 3h/día)])</f>
        <v>239.97000000000006</v>
      </c>
      <c r="H41" s="22">
        <f>SUM(Tabla1[Horas Tarea])</f>
        <v>720</v>
      </c>
      <c r="I41" s="9">
        <f>SUBTOTAL(109,Tabla1[HORAS PENDIENTES])</f>
        <v>152.04999999999998</v>
      </c>
      <c r="J41" s="9">
        <f>SUBTOTAL(109,Tabla1[CALCULO TIEMPO A 6.45 HORAS LABORALES])</f>
        <v>29.02364341085271</v>
      </c>
      <c r="K41" s="9">
        <f>SUBTOTAL(109,Tabla1[CALCULO HORAS ASIGNADAS])</f>
        <v>180.6</v>
      </c>
      <c r="L41" s="9"/>
      <c r="M41" s="9"/>
      <c r="N41" s="12"/>
    </row>
    <row r="42" spans="1:14" ht="26.4" customHeight="1" x14ac:dyDescent="0.3">
      <c r="I42" s="18">
        <f>+Tabla1[[#Totals],[HORAS PENDIENTES]]/6.45</f>
        <v>23.573643410852711</v>
      </c>
      <c r="J42" s="13"/>
      <c r="K42" s="13"/>
      <c r="L42" s="13"/>
      <c r="M42" s="13"/>
      <c r="N42" s="14"/>
    </row>
    <row r="43" spans="1:14" ht="42" customHeight="1" x14ac:dyDescent="0.3">
      <c r="I43" s="10" t="s">
        <v>97</v>
      </c>
      <c r="J43" s="14"/>
      <c r="K43" s="16">
        <f>+Tabla1[[#Totals],[CALCULO HORAS ASIGNADAS]]-Tabla1[[#Totals],[HORAS PENDIENTES]]</f>
        <v>28.550000000000011</v>
      </c>
      <c r="L43" s="14"/>
      <c r="M43" s="35">
        <f>2*6</f>
        <v>12</v>
      </c>
      <c r="N43" s="36">
        <f>28.55-12</f>
        <v>16.55</v>
      </c>
    </row>
    <row r="44" spans="1:14" ht="30" customHeight="1" x14ac:dyDescent="0.3">
      <c r="I44" s="11">
        <v>46235</v>
      </c>
      <c r="J44" s="15"/>
      <c r="K44" s="17" t="s">
        <v>105</v>
      </c>
      <c r="L44" s="15"/>
      <c r="M44" s="37" t="s">
        <v>107</v>
      </c>
      <c r="N44" s="37"/>
    </row>
    <row r="45" spans="1:14" ht="66" customHeight="1" x14ac:dyDescent="0.3">
      <c r="K45" s="17"/>
      <c r="M45" s="39" t="s">
        <v>108</v>
      </c>
      <c r="N45" s="38"/>
    </row>
  </sheetData>
  <mergeCells count="1">
    <mergeCell ref="K44:K45"/>
  </mergeCells>
  <conditionalFormatting sqref="A2:N40">
    <cfRule type="expression" dxfId="1" priority="5">
      <formula>AND(#REF!&lt;&gt;"",#REF!&lt;=#REF!,#REF!&gt;=#REF!)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Cronograma_Justificacion_Marcas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Ortega Acuña</dc:creator>
  <cp:lastModifiedBy>Sindy Mayorga Matarrita</cp:lastModifiedBy>
  <dcterms:created xsi:type="dcterms:W3CDTF">2026-05-06T14:26:48Z</dcterms:created>
  <dcterms:modified xsi:type="dcterms:W3CDTF">2026-06-24T13:41:06Z</dcterms:modified>
</cp:coreProperties>
</file>